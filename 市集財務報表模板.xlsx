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市集新手店主財務報表模板 V2" sheetId="1" r:id="rId5"/>
    <sheet state="visible" name="購貨" sheetId="2" r:id="rId6"/>
    <sheet state="visible" name="銷貨" sheetId="3" r:id="rId7"/>
  </sheets>
  <definedNames/>
  <calcPr/>
</workbook>
</file>

<file path=xl/sharedStrings.xml><?xml version="1.0" encoding="utf-8"?>
<sst xmlns="http://schemas.openxmlformats.org/spreadsheetml/2006/main" count="126" uniqueCount="79">
  <si>
    <t xml:space="preserve">主報表：市集店主財務報表 </t>
  </si>
  <si>
    <t>【第一部分：損益表】</t>
  </si>
  <si>
    <t>損益表項目</t>
  </si>
  <si>
    <t>金額 (元)</t>
  </si>
  <si>
    <t>說明</t>
  </si>
  <si>
    <t>銷貨</t>
  </si>
  <si>
    <t>自下方「銷貨原始分錄明細表」自動連動加總</t>
  </si>
  <si>
    <t>減：銷貨退回</t>
  </si>
  <si>
    <t>顧客退貨或現場給予的特別折讓</t>
  </si>
  <si>
    <t>銷貨淨額</t>
  </si>
  <si>
    <t>銷貨收入總額 - 銷貨退回及折讓</t>
  </si>
  <si>
    <t>減：銷貨成本</t>
  </si>
  <si>
    <t xml:space="preserve">       期初存貨</t>
  </si>
  <si>
    <t>本次市集開始前的商品庫存總價值</t>
  </si>
  <si>
    <t xml:space="preserve">       加：購貨</t>
  </si>
  <si>
    <t>自下方「購貨原始分錄明細表」自動連動加總</t>
  </si>
  <si>
    <t xml:space="preserve">       減：期末存貨</t>
  </si>
  <si>
    <t>自下方「期末存貨盤點明細表」自動連動加總</t>
  </si>
  <si>
    <t>銷貨成本總計</t>
  </si>
  <si>
    <t>期初存貨 + 本期購貨 - 期末存貨</t>
  </si>
  <si>
    <t>毛利</t>
  </si>
  <si>
    <t>營業收入淨額 - 銷貨成本總計</t>
  </si>
  <si>
    <t>減：費用</t>
  </si>
  <si>
    <t xml:space="preserve">        攤位租金</t>
  </si>
  <si>
    <t>市集攤位基本固定租金</t>
  </si>
  <si>
    <t xml:space="preserve">        包材與日常雜項</t>
  </si>
  <si>
    <t>紙袋、塑膠袋、攤位裝飾道具等支出</t>
  </si>
  <si>
    <t xml:space="preserve">        交通與運費</t>
  </si>
  <si>
    <t>運送貨物或往返市集的交通開銷</t>
  </si>
  <si>
    <t xml:space="preserve">        行銷與推廣費</t>
  </si>
  <si>
    <t>現場小贈品、線上宣傳廣告等</t>
  </si>
  <si>
    <t xml:space="preserve">        營業費用總計</t>
  </si>
  <si>
    <t>各項擺攤營運費用加總</t>
  </si>
  <si>
    <t>淨利</t>
  </si>
  <si>
    <t>銷貨毛利 - 營業費用總計</t>
  </si>
  <si>
    <t>【第二部分：關鍵財務比率與資本項目】</t>
  </si>
  <si>
    <t>會計項目/比率名稱</t>
  </si>
  <si>
    <t>數值 / 結果</t>
  </si>
  <si>
    <t>比率計算說明</t>
  </si>
  <si>
    <t>業主投入資本</t>
  </si>
  <si>
    <t>「本次擺攤準備的總本金」（如：備用零錢、初期材料、硬體設備基金）</t>
  </si>
  <si>
    <t>毛利率</t>
  </si>
  <si>
    <t>銷貨毛利 ÷ 營業收入淨額（代表產品的核心獲利能力）</t>
  </si>
  <si>
    <t>淨利率</t>
  </si>
  <si>
    <t>營業淨利 ÷ 營業收入淨額（代表最終扣除所有成本費用的實賺比率）</t>
  </si>
  <si>
    <t>資本回報率 (ROI)</t>
  </si>
  <si>
    <t>營業淨利 ÷ 業主投入資本（代表你投入的每一元本金幫你賺回多少利潤）</t>
  </si>
  <si>
    <t>【第三部分：銷貨原始分錄明細表 (Sales Log)】</t>
  </si>
  <si>
    <t>交易日期</t>
  </si>
  <si>
    <t>銷貨金額 (元)</t>
  </si>
  <si>
    <t>數量</t>
  </si>
  <si>
    <t>備註</t>
  </si>
  <si>
    <t>【第四部分：購貨原始分錄明細表 (Purchases Log)】</t>
  </si>
  <si>
    <t>購貨金額 (元)</t>
  </si>
  <si>
    <t>範例：進貨原料明細</t>
  </si>
  <si>
    <t>範例：進貨成品明細</t>
  </si>
  <si>
    <t>【第五部分：期末存貨盤點明細表 (Ending Inventory)】</t>
  </si>
  <si>
    <t>產品名稱</t>
  </si>
  <si>
    <t>剩餘數量</t>
  </si>
  <si>
    <t>期末存貨總價值 (元)</t>
  </si>
  <si>
    <t>商品A</t>
  </si>
  <si>
    <t>數量乘以單位成本</t>
  </si>
  <si>
    <t>商品B</t>
  </si>
  <si>
    <t>總計：</t>
  </si>
  <si>
    <t>自動計算所有剩餘存貨的總價值並向上連動至銷貨成本</t>
  </si>
  <si>
    <t>品項</t>
  </si>
  <si>
    <t>產品單價($)</t>
  </si>
  <si>
    <t>貨品總數</t>
  </si>
  <si>
    <t>商品C</t>
  </si>
  <si>
    <t>備註/單據編號</t>
  </si>
  <si>
    <t>P001</t>
  </si>
  <si>
    <t>購貨總額</t>
  </si>
  <si>
    <t>單位成本 (元)</t>
  </si>
  <si>
    <t>期末存貨總額</t>
  </si>
  <si>
    <t>銷貨總數</t>
  </si>
  <si>
    <t>備註/交易編號</t>
  </si>
  <si>
    <t>V001</t>
  </si>
  <si>
    <t>V002</t>
  </si>
  <si>
    <t>銷貨總額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</si>
</sst>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/mm/dd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19.25"/>
    <col customWidth="1" min="3" max="3" width="74.5"/>
    <col customWidth="1" min="4" max="4" width="49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1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 t="s">
        <v>2</v>
      </c>
      <c r="B4" s="4" t="s">
        <v>3</v>
      </c>
      <c r="C4" s="1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" t="s">
        <v>5</v>
      </c>
      <c r="B6" s="2">
        <f>'銷貨'!B32</f>
        <v>3865</v>
      </c>
      <c r="C6" s="1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 t="s">
        <v>7</v>
      </c>
      <c r="B7" s="4">
        <v>0.0</v>
      </c>
      <c r="C7" s="1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" t="s">
        <v>9</v>
      </c>
      <c r="B8" s="2">
        <f>B6-B7</f>
        <v>3865</v>
      </c>
      <c r="C8" s="1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 t="s">
        <v>11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12</v>
      </c>
      <c r="B10" s="4">
        <v>0.0</v>
      </c>
      <c r="C10" s="1" t="s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" t="s">
        <v>14</v>
      </c>
      <c r="B11" s="4">
        <f>'購貨'!B29</f>
        <v>2720</v>
      </c>
      <c r="C11" s="1" t="s">
        <v>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 t="s">
        <v>16</v>
      </c>
      <c r="B12" s="5">
        <f>'購貨'!D41</f>
        <v>669.7140912</v>
      </c>
      <c r="C12" s="1" t="s">
        <v>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 t="s">
        <v>18</v>
      </c>
      <c r="B13" s="5">
        <f>B10+B11-B12</f>
        <v>2050.285909</v>
      </c>
      <c r="C13" s="1" t="s">
        <v>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 t="s">
        <v>20</v>
      </c>
      <c r="B14" s="5">
        <f>B8-B13</f>
        <v>1814.714091</v>
      </c>
      <c r="C14" s="1" t="s">
        <v>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 t="s">
        <v>22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 t="s">
        <v>23</v>
      </c>
      <c r="B16" s="4">
        <v>1500.0</v>
      </c>
      <c r="C16" s="1" t="s">
        <v>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 t="s">
        <v>25</v>
      </c>
      <c r="B17" s="4">
        <v>100.0</v>
      </c>
      <c r="C17" s="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 t="s">
        <v>27</v>
      </c>
      <c r="B18" s="4">
        <v>200.0</v>
      </c>
      <c r="C18" s="1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29</v>
      </c>
      <c r="B19" s="4">
        <v>500.0</v>
      </c>
      <c r="C19" s="1" t="s">
        <v>30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31</v>
      </c>
      <c r="B20" s="2">
        <f>SUM(B16:B19)</f>
        <v>2300</v>
      </c>
      <c r="C20" s="1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" t="s">
        <v>33</v>
      </c>
      <c r="B21" s="5">
        <f>B14-B20</f>
        <v>-485.2859088</v>
      </c>
      <c r="C21" s="1" t="s">
        <v>34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" t="s">
        <v>35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36</v>
      </c>
      <c r="B24" s="4" t="s">
        <v>37</v>
      </c>
      <c r="C24" s="1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" t="s">
        <v>39</v>
      </c>
      <c r="B25" s="4">
        <v>5000.0</v>
      </c>
      <c r="C25" s="1" t="s">
        <v>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" t="s">
        <v>41</v>
      </c>
      <c r="B26" s="6">
        <f>B14/B8</f>
        <v>0.4695249913</v>
      </c>
      <c r="C26" s="1" t="s">
        <v>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" t="s">
        <v>43</v>
      </c>
      <c r="B27" s="6">
        <f>B21/B8</f>
        <v>-0.1255590967</v>
      </c>
      <c r="C27" s="1" t="s">
        <v>44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" t="s">
        <v>45</v>
      </c>
      <c r="B28" s="6">
        <f>B21/B25</f>
        <v>-0.09705718176</v>
      </c>
      <c r="C28" s="1" t="s">
        <v>46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idden="1">
      <c r="A30" s="1" t="s">
        <v>47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idden="1">
      <c r="A31" s="1" t="s">
        <v>48</v>
      </c>
      <c r="B31" s="4" t="s">
        <v>49</v>
      </c>
      <c r="C31" s="1" t="s">
        <v>50</v>
      </c>
      <c r="D31" s="1" t="s">
        <v>51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idden="1">
      <c r="A32" s="7">
        <v>46143.0</v>
      </c>
      <c r="B32" s="4">
        <v>500.0</v>
      </c>
      <c r="C32" s="1">
        <v>5.0</v>
      </c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idden="1">
      <c r="A33" s="7">
        <v>46143.0</v>
      </c>
      <c r="B33" s="4">
        <v>1200.0</v>
      </c>
      <c r="C33" s="1">
        <v>3.0</v>
      </c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idden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idden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idden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idden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idden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idden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idden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idden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idden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idden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idden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idden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idden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idden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idden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idden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idden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idden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idden="1">
      <c r="A52" s="1" t="s">
        <v>52</v>
      </c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idden="1">
      <c r="A53" s="1" t="s">
        <v>48</v>
      </c>
      <c r="B53" s="4" t="s">
        <v>53</v>
      </c>
      <c r="C53" s="1" t="s">
        <v>50</v>
      </c>
      <c r="D53" s="1" t="s">
        <v>51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idden="1">
      <c r="A54" s="7">
        <v>46137.0</v>
      </c>
      <c r="B54" s="4">
        <v>3000.0</v>
      </c>
      <c r="C54" s="1">
        <v>100.0</v>
      </c>
      <c r="D54" s="1" t="s">
        <v>54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idden="1">
      <c r="A55" s="7">
        <v>46138.0</v>
      </c>
      <c r="B55" s="4">
        <v>1000.0</v>
      </c>
      <c r="C55" s="1">
        <v>20.0</v>
      </c>
      <c r="D55" s="1" t="s">
        <v>55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idden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idden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idden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idden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idden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idden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idden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idden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idden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idden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idden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idden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idden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idden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idden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idden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idden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idden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8.75" hidden="1" customHeight="1">
      <c r="A74" s="1" t="s">
        <v>56</v>
      </c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idden="1">
      <c r="A75" s="1" t="s">
        <v>57</v>
      </c>
      <c r="B75" s="4" t="s">
        <v>58</v>
      </c>
      <c r="C75" s="1" t="s">
        <v>59</v>
      </c>
      <c r="D75" s="1" t="s">
        <v>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idden="1">
      <c r="A76" s="1" t="s">
        <v>60</v>
      </c>
      <c r="B76" s="4">
        <v>10.0</v>
      </c>
      <c r="C76" s="3" t="str">
        <f t="shared" ref="C76:C77" si="1">B76*#REF!</f>
        <v>#REF!</v>
      </c>
      <c r="D76" s="1" t="s">
        <v>61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idden="1">
      <c r="A77" s="1" t="s">
        <v>62</v>
      </c>
      <c r="B77" s="4">
        <v>5.0</v>
      </c>
      <c r="C77" s="3" t="str">
        <f t="shared" si="1"/>
        <v>#REF!</v>
      </c>
      <c r="D77" s="1" t="s">
        <v>61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idden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idden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idden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idden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idden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idden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idden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idden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idden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idden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idden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idden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idden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idden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idden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idden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idden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idden="1">
      <c r="A95" s="1" t="s">
        <v>63</v>
      </c>
      <c r="B95" s="2"/>
      <c r="C95" s="3" t="str">
        <f>SUM(C76:C94)</f>
        <v>#REF!</v>
      </c>
      <c r="D95" s="1" t="s">
        <v>64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12.88"/>
    <col customWidth="1" min="3" max="3" width="19.5"/>
    <col customWidth="1" min="4" max="4" width="18.88"/>
    <col customWidth="1" min="5" max="5" width="20.75"/>
  </cols>
  <sheetData>
    <row r="1">
      <c r="A1" s="4" t="s">
        <v>52</v>
      </c>
      <c r="B1" s="2"/>
      <c r="C1" s="2"/>
      <c r="D1" s="2"/>
      <c r="E1" s="2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65</v>
      </c>
      <c r="B2" s="4" t="s">
        <v>66</v>
      </c>
      <c r="C2" s="4" t="s">
        <v>67</v>
      </c>
      <c r="D2" s="2"/>
      <c r="E2" s="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60</v>
      </c>
      <c r="B3" s="10">
        <f>SUMIF($C$7:$C$23,A3,$B$7:$B$23)/ SUMIF($C$7:$C$23,A3,$D$7:$D$23)</f>
        <v>13.45132743</v>
      </c>
      <c r="C3" s="2">
        <f t="shared" ref="C3:C5" si="1">SUMIF($C$7:$C$23,A3,$D$7:$D$23)</f>
        <v>113</v>
      </c>
      <c r="D3" s="2"/>
      <c r="E3" s="2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62</v>
      </c>
      <c r="B4" s="10">
        <f t="shared" ref="B4:B5" si="2">SUMIF($C$7:$C$23,A4,$B$7:$B$23)/SUMIF($C$7:$C$23,A4,$D$7:$D$23)</f>
        <v>13.84615385</v>
      </c>
      <c r="C4" s="2">
        <f t="shared" si="1"/>
        <v>65</v>
      </c>
      <c r="D4" s="2"/>
      <c r="E4" s="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68</v>
      </c>
      <c r="B5" s="10">
        <f t="shared" si="2"/>
        <v>30</v>
      </c>
      <c r="C5" s="2">
        <f t="shared" si="1"/>
        <v>10</v>
      </c>
      <c r="D5" s="2"/>
      <c r="E5" s="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48</v>
      </c>
      <c r="B6" s="4" t="s">
        <v>53</v>
      </c>
      <c r="C6" s="4" t="s">
        <v>65</v>
      </c>
      <c r="D6" s="4" t="s">
        <v>50</v>
      </c>
      <c r="E6" s="4" t="s">
        <v>69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>
        <v>46137.0</v>
      </c>
      <c r="B7" s="4">
        <v>1000.0</v>
      </c>
      <c r="C7" s="4" t="s">
        <v>60</v>
      </c>
      <c r="D7" s="4">
        <v>100.0</v>
      </c>
      <c r="E7" s="4" t="s">
        <v>70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>
        <v>46138.0</v>
      </c>
      <c r="B8" s="4">
        <v>700.0</v>
      </c>
      <c r="C8" s="4" t="s">
        <v>62</v>
      </c>
      <c r="D8" s="4">
        <v>20.0</v>
      </c>
      <c r="E8" s="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>
        <v>46139.0</v>
      </c>
      <c r="B9" s="4">
        <v>520.0</v>
      </c>
      <c r="C9" s="4" t="s">
        <v>60</v>
      </c>
      <c r="D9" s="4">
        <v>13.0</v>
      </c>
      <c r="E9" s="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>
        <v>46140.0</v>
      </c>
      <c r="B10" s="4">
        <v>300.0</v>
      </c>
      <c r="C10" s="4" t="s">
        <v>68</v>
      </c>
      <c r="D10" s="4">
        <v>10.0</v>
      </c>
      <c r="E10" s="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>
        <v>46141.0</v>
      </c>
      <c r="B11" s="4">
        <v>100.0</v>
      </c>
      <c r="C11" s="4" t="s">
        <v>62</v>
      </c>
      <c r="D11" s="4">
        <v>25.0</v>
      </c>
      <c r="E11" s="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>
        <v>46142.0</v>
      </c>
      <c r="B12" s="4">
        <v>100.0</v>
      </c>
      <c r="C12" s="4" t="s">
        <v>62</v>
      </c>
      <c r="D12" s="4">
        <v>20.0</v>
      </c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>
        <v>46143.0</v>
      </c>
      <c r="B13" s="2"/>
      <c r="C13" s="4" t="s">
        <v>62</v>
      </c>
      <c r="D13" s="2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>
        <v>46144.0</v>
      </c>
      <c r="B14" s="2"/>
      <c r="C14" s="4"/>
      <c r="D14" s="2"/>
      <c r="E14" s="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>
        <v>46145.0</v>
      </c>
      <c r="B15" s="2"/>
      <c r="C15" s="4"/>
      <c r="D15" s="2"/>
      <c r="E15" s="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>
        <v>46146.0</v>
      </c>
      <c r="B16" s="2"/>
      <c r="C16" s="4"/>
      <c r="D16" s="2"/>
      <c r="E16" s="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>
        <v>46147.0</v>
      </c>
      <c r="B17" s="2"/>
      <c r="C17" s="4"/>
      <c r="D17" s="2"/>
      <c r="E17" s="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>
        <v>46148.0</v>
      </c>
      <c r="B18" s="2"/>
      <c r="C18" s="4"/>
      <c r="D18" s="2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>
        <v>46149.0</v>
      </c>
      <c r="B19" s="2"/>
      <c r="C19" s="4"/>
      <c r="D19" s="2"/>
      <c r="E19" s="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>
        <v>46150.0</v>
      </c>
      <c r="B20" s="2"/>
      <c r="C20" s="4"/>
      <c r="D20" s="2"/>
      <c r="E20" s="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>
        <v>46151.0</v>
      </c>
      <c r="B21" s="2"/>
      <c r="C21" s="4"/>
      <c r="D21" s="2"/>
      <c r="E21" s="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>
        <v>46152.0</v>
      </c>
      <c r="B22" s="2"/>
      <c r="C22" s="4"/>
      <c r="D22" s="2"/>
      <c r="E22" s="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>
        <v>46152.0</v>
      </c>
      <c r="B23" s="2"/>
      <c r="C23" s="4"/>
      <c r="D23" s="2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"/>
      <c r="B24" s="2"/>
      <c r="C24" s="2"/>
      <c r="D24" s="2"/>
      <c r="E24" s="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"/>
      <c r="B25" s="2"/>
      <c r="C25" s="2"/>
      <c r="D25" s="2"/>
      <c r="E25" s="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"/>
      <c r="B26" s="2"/>
      <c r="C26" s="2"/>
      <c r="D26" s="2"/>
      <c r="E26" s="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71</v>
      </c>
      <c r="B29" s="4">
        <f>sum(B3*C3+B4*C4+B5*C5)</f>
        <v>2720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56</v>
      </c>
      <c r="B36" s="2"/>
      <c r="C36" s="2"/>
      <c r="D36" s="2"/>
      <c r="E36" s="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57</v>
      </c>
      <c r="B37" s="4" t="s">
        <v>58</v>
      </c>
      <c r="C37" s="4" t="s">
        <v>72</v>
      </c>
      <c r="D37" s="10" t="s">
        <v>59</v>
      </c>
      <c r="E37" s="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60</v>
      </c>
      <c r="B38" s="4">
        <f>C3-'銷貨'!C3</f>
        <v>28</v>
      </c>
      <c r="C38" s="10">
        <f t="shared" ref="C38:C40" si="3">B3</f>
        <v>13.45132743</v>
      </c>
      <c r="D38" s="5">
        <f t="shared" ref="D38:D40" si="4">B38*C38</f>
        <v>376.6371681</v>
      </c>
      <c r="E38" s="4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62</v>
      </c>
      <c r="B39" s="4">
        <f>C4-'銷貨'!C4</f>
        <v>32</v>
      </c>
      <c r="C39" s="10">
        <f t="shared" si="3"/>
        <v>13.84615385</v>
      </c>
      <c r="D39" s="5">
        <f t="shared" si="4"/>
        <v>443.0769231</v>
      </c>
      <c r="E39" s="4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2" t="s">
        <v>68</v>
      </c>
      <c r="B40" s="4">
        <f>C5-'銷貨'!C5</f>
        <v>-5</v>
      </c>
      <c r="C40" s="10">
        <f t="shared" si="3"/>
        <v>30</v>
      </c>
      <c r="D40" s="5">
        <f t="shared" si="4"/>
        <v>-150</v>
      </c>
      <c r="E40" s="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73</v>
      </c>
      <c r="B41" s="2"/>
      <c r="C41" s="2"/>
      <c r="D41" s="5">
        <f>sum(D38:D40)</f>
        <v>669.7140912</v>
      </c>
      <c r="E41" s="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"/>
      <c r="B42" s="2"/>
      <c r="C42" s="2"/>
      <c r="D42" s="2"/>
      <c r="E42" s="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"/>
      <c r="B43" s="2"/>
      <c r="C43" s="2"/>
      <c r="D43" s="2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"/>
      <c r="B44" s="2"/>
      <c r="C44" s="2"/>
      <c r="D44" s="2"/>
      <c r="E44" s="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"/>
      <c r="B45" s="2"/>
      <c r="C45" s="2"/>
      <c r="D45" s="2"/>
      <c r="E45" s="2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"/>
      <c r="B46" s="2"/>
      <c r="C46" s="2"/>
      <c r="D46" s="2"/>
      <c r="E46" s="2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"/>
      <c r="B47" s="2"/>
      <c r="C47" s="2"/>
      <c r="D47" s="2"/>
      <c r="E47" s="2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"/>
      <c r="B48" s="2"/>
      <c r="C48" s="2"/>
      <c r="D48" s="2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"/>
      <c r="B49" s="2"/>
      <c r="C49" s="2"/>
      <c r="D49" s="2"/>
      <c r="E49" s="2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"/>
      <c r="B50" s="2"/>
      <c r="C50" s="2"/>
      <c r="D50" s="2"/>
      <c r="E50" s="2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"/>
      <c r="B51" s="2"/>
      <c r="C51" s="2"/>
      <c r="D51" s="2"/>
      <c r="E51" s="2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"/>
      <c r="B52" s="2"/>
      <c r="C52" s="2"/>
      <c r="D52" s="2"/>
      <c r="E52" s="2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"/>
      <c r="B53" s="2"/>
      <c r="C53" s="2"/>
      <c r="D53" s="2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"/>
      <c r="B54" s="2"/>
      <c r="C54" s="2"/>
      <c r="D54" s="2"/>
      <c r="E54" s="2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"/>
      <c r="B55" s="2"/>
      <c r="C55" s="2"/>
      <c r="D55" s="2"/>
      <c r="E55" s="2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"/>
      <c r="B56" s="2"/>
      <c r="C56" s="2"/>
      <c r="D56" s="2"/>
      <c r="E56" s="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63</v>
      </c>
      <c r="B57" s="2"/>
      <c r="C57" s="2"/>
      <c r="D57" s="5">
        <f>SUM(D38:D56)</f>
        <v>1339.428182</v>
      </c>
      <c r="E57" s="4" t="s">
        <v>64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dataValidations>
    <dataValidation type="list" allowBlank="1" showErrorMessage="1" sqref="C7:C23">
      <formula1>"商品A,商品B,商品C"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14.5"/>
    <col customWidth="1" min="3" max="3" width="15.25"/>
    <col customWidth="1" min="5" max="5" width="13.5"/>
  </cols>
  <sheetData>
    <row r="1">
      <c r="A1" s="4" t="s">
        <v>47</v>
      </c>
      <c r="B1" s="2"/>
      <c r="C1" s="2"/>
      <c r="D1" s="2"/>
      <c r="E1" s="2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65</v>
      </c>
      <c r="B2" s="4" t="s">
        <v>66</v>
      </c>
      <c r="C2" s="4" t="s">
        <v>74</v>
      </c>
      <c r="D2" s="2"/>
      <c r="E2" s="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60</v>
      </c>
      <c r="B3" s="4">
        <v>25.0</v>
      </c>
      <c r="C3" s="2">
        <f t="shared" ref="C3:C5" si="1">SUMIF($C$7:$C$23,A3,$D$7:$D$23)</f>
        <v>85</v>
      </c>
      <c r="D3" s="2"/>
      <c r="E3" s="2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62</v>
      </c>
      <c r="B4" s="4">
        <v>30.0</v>
      </c>
      <c r="C4" s="2">
        <f t="shared" si="1"/>
        <v>33</v>
      </c>
      <c r="D4" s="2"/>
      <c r="E4" s="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68</v>
      </c>
      <c r="B5" s="4">
        <v>50.0</v>
      </c>
      <c r="C5" s="2">
        <f t="shared" si="1"/>
        <v>15</v>
      </c>
      <c r="D5" s="2"/>
      <c r="E5" s="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48</v>
      </c>
      <c r="B6" s="4" t="s">
        <v>49</v>
      </c>
      <c r="C6" s="4" t="s">
        <v>57</v>
      </c>
      <c r="D6" s="4" t="s">
        <v>50</v>
      </c>
      <c r="E6" s="4" t="s">
        <v>75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>
        <v>46143.0</v>
      </c>
      <c r="B7" s="4">
        <f t="shared" ref="B7:B31" si="2">iferror(VLOOKUP(C7,$A$3:$B$5,2,false)*D7,"")</f>
        <v>150</v>
      </c>
      <c r="C7" s="4" t="s">
        <v>62</v>
      </c>
      <c r="D7" s="4">
        <v>5.0</v>
      </c>
      <c r="E7" s="4" t="s">
        <v>76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>
        <v>46143.0</v>
      </c>
      <c r="B8" s="4">
        <f t="shared" si="2"/>
        <v>250</v>
      </c>
      <c r="C8" s="4" t="s">
        <v>60</v>
      </c>
      <c r="D8" s="4">
        <v>10.0</v>
      </c>
      <c r="E8" s="4" t="s">
        <v>77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>
        <v>46144.0</v>
      </c>
      <c r="B9" s="4">
        <f t="shared" si="2"/>
        <v>180</v>
      </c>
      <c r="C9" s="4" t="s">
        <v>62</v>
      </c>
      <c r="D9" s="4">
        <v>6.0</v>
      </c>
      <c r="E9" s="4" t="s">
        <v>77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>
        <v>46145.0</v>
      </c>
      <c r="B10" s="4">
        <f t="shared" si="2"/>
        <v>210</v>
      </c>
      <c r="C10" s="4" t="s">
        <v>62</v>
      </c>
      <c r="D10" s="4">
        <v>7.0</v>
      </c>
      <c r="E10" s="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>
        <v>46146.0</v>
      </c>
      <c r="B11" s="4">
        <f t="shared" si="2"/>
        <v>750</v>
      </c>
      <c r="C11" s="4" t="s">
        <v>68</v>
      </c>
      <c r="D11" s="4">
        <v>15.0</v>
      </c>
      <c r="E11" s="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>
        <v>46147.0</v>
      </c>
      <c r="B12" s="4">
        <f t="shared" si="2"/>
        <v>375</v>
      </c>
      <c r="C12" s="4" t="s">
        <v>60</v>
      </c>
      <c r="D12" s="4">
        <v>15.0</v>
      </c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>
        <v>46148.0</v>
      </c>
      <c r="B13" s="4">
        <f t="shared" si="2"/>
        <v>450</v>
      </c>
      <c r="C13" s="4" t="s">
        <v>62</v>
      </c>
      <c r="D13" s="4">
        <v>15.0</v>
      </c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>
        <v>46149.0</v>
      </c>
      <c r="B14" s="4">
        <f t="shared" si="2"/>
        <v>1500</v>
      </c>
      <c r="C14" s="4" t="s">
        <v>60</v>
      </c>
      <c r="D14" s="4">
        <v>60.0</v>
      </c>
      <c r="E14" s="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>
        <v>46150.0</v>
      </c>
      <c r="B15" s="4" t="str">
        <f t="shared" si="2"/>
        <v/>
      </c>
      <c r="C15" s="4"/>
      <c r="D15" s="2"/>
      <c r="E15" s="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>
        <v>46151.0</v>
      </c>
      <c r="B16" s="4" t="str">
        <f t="shared" si="2"/>
        <v/>
      </c>
      <c r="C16" s="4"/>
      <c r="D16" s="2"/>
      <c r="E16" s="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>
        <v>46152.0</v>
      </c>
      <c r="B17" s="4" t="str">
        <f t="shared" si="2"/>
        <v/>
      </c>
      <c r="C17" s="4"/>
      <c r="D17" s="2"/>
      <c r="E17" s="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>
        <v>46153.0</v>
      </c>
      <c r="B18" s="4" t="str">
        <f t="shared" si="2"/>
        <v/>
      </c>
      <c r="C18" s="4"/>
      <c r="D18" s="2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>
        <v>46154.0</v>
      </c>
      <c r="B19" s="4" t="str">
        <f t="shared" si="2"/>
        <v/>
      </c>
      <c r="C19" s="4"/>
      <c r="D19" s="2"/>
      <c r="E19" s="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>
        <v>46155.0</v>
      </c>
      <c r="B20" s="4" t="str">
        <f t="shared" si="2"/>
        <v/>
      </c>
      <c r="C20" s="4"/>
      <c r="D20" s="2"/>
      <c r="E20" s="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"/>
      <c r="B21" s="4" t="str">
        <f t="shared" si="2"/>
        <v/>
      </c>
      <c r="C21" s="4"/>
      <c r="D21" s="2"/>
      <c r="E21" s="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"/>
      <c r="B22" s="4" t="str">
        <f t="shared" si="2"/>
        <v/>
      </c>
      <c r="C22" s="4"/>
      <c r="D22" s="2"/>
      <c r="E22" s="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"/>
      <c r="B23" s="4" t="str">
        <f t="shared" si="2"/>
        <v/>
      </c>
      <c r="C23" s="4"/>
      <c r="D23" s="2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"/>
      <c r="B24" s="4" t="str">
        <f t="shared" si="2"/>
        <v/>
      </c>
      <c r="C24" s="4"/>
      <c r="D24" s="2"/>
      <c r="E24" s="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"/>
      <c r="B25" s="4" t="str">
        <f t="shared" si="2"/>
        <v/>
      </c>
      <c r="C25" s="4"/>
      <c r="D25" s="2"/>
      <c r="E25" s="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"/>
      <c r="B26" s="4" t="str">
        <f t="shared" si="2"/>
        <v/>
      </c>
      <c r="C26" s="4"/>
      <c r="D26" s="2"/>
      <c r="E26" s="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" t="str">
        <f t="shared" si="2"/>
        <v/>
      </c>
      <c r="C27" s="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" t="str">
        <f t="shared" si="2"/>
        <v/>
      </c>
      <c r="C28" s="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" t="str">
        <f t="shared" si="2"/>
        <v/>
      </c>
      <c r="C29" s="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" t="str">
        <f t="shared" si="2"/>
        <v/>
      </c>
      <c r="C30" s="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" t="str">
        <f t="shared" si="2"/>
        <v/>
      </c>
      <c r="C31" s="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78</v>
      </c>
      <c r="B32" s="4">
        <f>sum(B7:B31)</f>
        <v>3865</v>
      </c>
      <c r="C32" s="4"/>
      <c r="D32" s="4"/>
      <c r="E32" s="4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dataValidations>
    <dataValidation type="list" allowBlank="1" showErrorMessage="1" sqref="C7:C31">
      <formula1>"商品A,商品B,商品C"</formula1>
    </dataValidation>
  </dataValidations>
  <drawing r:id="rId1"/>
</worksheet>
</file>